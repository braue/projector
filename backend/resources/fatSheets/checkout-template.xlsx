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Fault Test Checkout" sheetId="1" r:id="rId1"/>
    <sheet name="Open Phase Test Checkout" sheetId="2" r:id="rId2"/>
    <sheet name="Miscoordination Test Checkout" sheetId="3" r:id="rId3"/>
    <sheet name="Abnormal Condition Checkout" sheetId="4" r:id="rId4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1"/>
      <color rgb="FF000000"/>
      <name val="Times New Roman"/>
      <family val="1"/>
    </font>
    <font>
      <sz val="11"/>
      <color theme="1" tint="0.34998626667073579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/>
        <bgColor theme="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C34AF"/>
        <bgColor indexed="64"/>
      </patternFill>
    </fill>
    <fill>
      <patternFill patternType="solid">
        <fgColor rgb="FF9FE8F9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</cellStyleXfs>
  <cellXfs count="170">
    <xf numFmtId="0" fontId="0" fillId="0" borderId="0" xfId="0"/>
    <xf numFmtId="0" fontId="0" fillId="3" borderId="1" xfId="0" applyFill="1" applyBorder="1" applyAlignment="1">
      <alignment horizontal="left" vertical="top"/>
    </xf>
    <xf numFmtId="0" fontId="0" fillId="3" borderId="1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right" vertical="top" wrapText="1"/>
    </xf>
    <xf numFmtId="0" fontId="0" fillId="3" borderId="1" xfId="0" applyFill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horizontal="right" wrapText="1"/>
    </xf>
    <xf numFmtId="0" fontId="0" fillId="0" borderId="1" xfId="0" applyBorder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0" xfId="0" applyFont="1"/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top" wrapText="1"/>
    </xf>
    <xf numFmtId="14" fontId="9" fillId="0" borderId="1" xfId="0" applyNumberFormat="1" applyFont="1" applyBorder="1" applyAlignment="1">
      <alignment horizontal="center" vertical="center" wrapText="1"/>
    </xf>
    <xf numFmtId="0" fontId="9" fillId="0" borderId="0" xfId="0" applyFont="1"/>
    <xf numFmtId="0" fontId="9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right" vertical="center" wrapText="1"/>
    </xf>
    <xf numFmtId="0" fontId="9" fillId="0" borderId="1" xfId="0" applyFont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0" fontId="9" fillId="0" borderId="1" xfId="0" applyFont="1" applyBorder="1" applyAlignment="1">
      <alignment horizontal="right" wrapText="1"/>
    </xf>
    <xf numFmtId="0" fontId="9" fillId="0" borderId="1" xfId="0" applyFont="1" applyBorder="1" applyAlignment="1">
      <alignment horizontal="right" vertical="center" wrapText="1"/>
    </xf>
    <xf numFmtId="0" fontId="9" fillId="3" borderId="1" xfId="0" applyFont="1" applyFill="1" applyBorder="1" applyAlignment="1">
      <alignment horizontal="right" vertical="center"/>
    </xf>
    <xf numFmtId="0" fontId="8" fillId="0" borderId="0" xfId="0" applyFont="1"/>
    <xf numFmtId="0" fontId="9" fillId="0" borderId="4" xfId="0" applyFont="1" applyBorder="1"/>
    <xf numFmtId="0" fontId="9" fillId="3" borderId="1" xfId="0" applyFont="1" applyFill="1" applyBorder="1" applyAlignment="1">
      <alignment horizontal="right" vertical="top" wrapText="1"/>
    </xf>
    <xf numFmtId="0" fontId="9" fillId="0" borderId="0" xfId="0" applyFont="1" applyAlignment="1">
      <alignment vertical="center" wrapText="1"/>
    </xf>
    <xf numFmtId="0" fontId="9" fillId="0" borderId="5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left" vertical="center"/>
    </xf>
    <xf numFmtId="0" fontId="9" fillId="3" borderId="5" xfId="0" applyFont="1" applyFill="1" applyBorder="1" applyAlignment="1">
      <alignment horizontal="right" vertical="center" wrapText="1"/>
    </xf>
    <xf numFmtId="0" fontId="0" fillId="3" borderId="17" xfId="0" applyFill="1" applyBorder="1" applyAlignment="1">
      <alignment horizontal="center" vertical="center"/>
    </xf>
    <xf numFmtId="0" fontId="2" fillId="0" borderId="19" xfId="0" applyFont="1" applyBorder="1"/>
    <xf numFmtId="0" fontId="0" fillId="0" borderId="17" xfId="0" applyBorder="1"/>
    <xf numFmtId="0" fontId="0" fillId="0" borderId="1" xfId="0" applyBorder="1" applyAlignment="1">
      <alignment horizontal="right" vertical="top" wrapText="1"/>
    </xf>
    <xf numFmtId="0" fontId="0" fillId="0" borderId="18" xfId="0" applyBorder="1"/>
    <xf numFmtId="0" fontId="9" fillId="2" borderId="1" xfId="0" applyFont="1" applyFill="1" applyBorder="1" applyAlignment="1">
      <alignment horizontal="left" vertical="top"/>
    </xf>
    <xf numFmtId="0" fontId="9" fillId="2" borderId="1" xfId="0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top" wrapText="1"/>
    </xf>
    <xf numFmtId="0" fontId="0" fillId="4" borderId="1" xfId="0" applyFill="1" applyBorder="1" applyAlignment="1">
      <alignment horizontal="left" vertical="top" wrapText="1"/>
    </xf>
    <xf numFmtId="0" fontId="9" fillId="4" borderId="1" xfId="0" applyFont="1" applyFill="1" applyBorder="1" applyAlignment="1">
      <alignment vertical="top"/>
    </xf>
    <xf numFmtId="0" fontId="9" fillId="4" borderId="1" xfId="0" applyFont="1" applyFill="1" applyBorder="1" applyAlignment="1">
      <alignment horizontal="right" wrapText="1"/>
    </xf>
    <xf numFmtId="0" fontId="9" fillId="4" borderId="1" xfId="0" applyFont="1" applyFill="1" applyBorder="1" applyAlignment="1">
      <alignment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wrapText="1"/>
    </xf>
    <xf numFmtId="14" fontId="0" fillId="0" borderId="0" xfId="0" applyNumberFormat="1" applyAlignment="1">
      <alignment horizontal="center" vertical="center" wrapText="1"/>
    </xf>
    <xf numFmtId="0" fontId="9" fillId="5" borderId="1" xfId="0" applyFont="1" applyFill="1" applyBorder="1" applyAlignment="1">
      <alignment horizontal="left" vertical="top"/>
    </xf>
    <xf numFmtId="0" fontId="9" fillId="5" borderId="1" xfId="0" applyFont="1" applyFill="1" applyBorder="1" applyAlignment="1">
      <alignment horizontal="left" vertical="top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0" xfId="0" applyFont="1" applyFill="1"/>
    <xf numFmtId="14" fontId="9" fillId="5" borderId="1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9" fillId="3" borderId="17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7" xfId="0" applyBorder="1" applyAlignment="1">
      <alignment horizontal="center" vertical="top" wrapText="1"/>
    </xf>
    <xf numFmtId="0" fontId="0" fillId="4" borderId="17" xfId="0" applyFill="1" applyBorder="1" applyAlignment="1">
      <alignment horizontal="center" vertical="top" wrapText="1"/>
    </xf>
    <xf numFmtId="0" fontId="0" fillId="3" borderId="17" xfId="0" applyFill="1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5" borderId="1" xfId="0" applyFill="1" applyBorder="1" applyAlignment="1">
      <alignment horizontal="left" vertical="top"/>
    </xf>
    <xf numFmtId="0" fontId="0" fillId="5" borderId="1" xfId="0" applyFill="1" applyBorder="1" applyAlignment="1">
      <alignment horizontal="right" wrapText="1"/>
    </xf>
    <xf numFmtId="0" fontId="9" fillId="0" borderId="17" xfId="0" applyFont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/>
    </xf>
    <xf numFmtId="0" fontId="13" fillId="0" borderId="0" xfId="0" applyFont="1"/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 vertical="top" wrapText="1"/>
    </xf>
    <xf numFmtId="0" fontId="14" fillId="8" borderId="4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8" fillId="0" borderId="1" xfId="1" applyFont="1" applyFill="1" applyBorder="1" applyAlignment="1">
      <alignment horizontal="center"/>
    </xf>
    <xf numFmtId="0" fontId="8" fillId="0" borderId="17" xfId="2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12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0" borderId="0" xfId="0" applyAlignment="1">
      <alignment wrapText="1"/>
    </xf>
    <xf numFmtId="0" fontId="15" fillId="0" borderId="0" xfId="0" applyFont="1" applyAlignment="1">
      <alignment horizontal="center"/>
    </xf>
    <xf numFmtId="0" fontId="15" fillId="17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9" fillId="17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left" vertical="top"/>
    </xf>
    <xf numFmtId="0" fontId="2" fillId="2" borderId="5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13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0" fillId="10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9" fillId="0" borderId="0" xfId="0" applyFont="1" applyAlignment="1">
      <alignment horizontal="left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8" fillId="0" borderId="1" xfId="2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16" xfId="0" applyFont="1" applyBorder="1" applyAlignment="1">
      <alignment horizontal="left" vertical="top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17" borderId="0" xfId="0" applyFill="1" applyAlignment="1">
      <alignment horizontal="center"/>
    </xf>
    <xf numFmtId="0" fontId="0" fillId="0" borderId="0" xfId="0" applyAlignment="1">
      <alignment horizontal="right" vertical="center" wrapText="1"/>
    </xf>
    <xf numFmtId="0" fontId="0" fillId="0" borderId="20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0" fillId="0" borderId="0" xfId="0" applyAlignment="1">
      <alignment horizontal="left" vertical="top" wrapText="1"/>
    </xf>
    <xf numFmtId="14" fontId="0" fillId="0" borderId="0" xfId="0" applyNumberFormat="1" applyAlignment="1">
      <alignment horizontal="left" vertical="top" wrapText="1"/>
    </xf>
  </cellXfs>
  <cellStyles count="3">
    <cellStyle name="Good" xfId="1" builtinId="26"/>
    <cellStyle name="Neutral" xfId="2" builtinId="28"/>
    <cellStyle name="Normal" xfId="0" builtinId="0"/>
  </cellStyles>
  <dxfs count="1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9FE8F9"/>
      <color rgb="FFEC34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workbookViewId="0">
      <pane xSplit="3" ySplit="8" topLeftCell="D9" activePane="bottomRight" state="frozen"/>
      <selection pane="bottomRight" activeCell="D9" sqref="D9"/>
    </sheetView>
  </sheetViews>
  <sheetFormatPr defaultRowHeight="14.4" x14ac:dyDescent="0.3"/>
  <cols>
    <col min="1" max="1" width="26.5546875" customWidth="1"/>
    <col min="2" max="2" width="3.109375" customWidth="1"/>
    <col min="3" max="3" width="51" customWidth="1"/>
    <col min="4" max="4" width="26.6640625" customWidth="1"/>
  </cols>
  <sheetData>
    <row r="1" spans="1:3" ht="21.6" thickBot="1" x14ac:dyDescent="0.35">
      <c r="A1" s="120" t="inlineStr">
        <is>
          <t xml:space="preserve">Fault Test Checkout</t>
        </is>
      </c>
      <c r="B1" s="121"/>
      <c r="C1" s="121"/>
    </row>
    <row r="2" spans="1:3" ht="62.25" customHeight="1" thickBot="1" x14ac:dyDescent="0.35">
      <c r="A2" s="122" t="inlineStr">
        <is>
          <t xml:space="preserve">A fault event is triggered by a device asserting a fault indication and tripping to lockout. A successful reconfiguration results in isolation of the faulted line sections and restoration to all non-faulted zones, if possible.
A fault test will be performed for each line segment in a feeder.</t>
        </is>
      </c>
      <c r="B2" s="123"/>
      <c r="C2" s="124"/>
    </row>
    <row r="4" spans="4:4" x14ac:dyDescent="0.3">
      <c r="D4" s="134"/>
    </row>
    <row r="5" spans="1:4" s="28" customFormat="1" x14ac:dyDescent="0.3">
      <c r="A5" s="136"/>
      <c r="B5" s="136"/>
      <c r="C5" s="39"/>
      <c r="D5" s="95" t="str">
        <f>"FT-"&amp;COLUMN()-3</f>
        <v>FT-1</v>
      </c>
    </row>
    <row r="6" spans="1:4" s="28" customFormat="1" x14ac:dyDescent="0.3">
      <c r="A6" s="131" t="inlineStr">
        <is>
          <t xml:space="preserve">Setup</t>
        </is>
      </c>
      <c r="B6" s="131"/>
      <c r="C6" s="40" t="inlineStr">
        <is>
          <t xml:space="preserve">Feeder :</t>
        </is>
      </c>
      <c r="D6" s="23"/>
    </row>
    <row r="7" spans="1:4" s="28" customFormat="1" ht="28.8" x14ac:dyDescent="0.3">
      <c r="A7" s="131"/>
      <c r="B7" s="131"/>
      <c r="C7" s="40" t="inlineStr">
        <is>
          <t xml:space="preserve">Configuration:</t>
        </is>
      </c>
      <c r="D7" s="24"/>
    </row>
    <row r="8" spans="1:4" s="28" customFormat="1" x14ac:dyDescent="0.3">
      <c r="A8" s="131"/>
      <c r="B8" s="131"/>
      <c r="C8" s="40" t="inlineStr">
        <is>
          <t xml:space="preserve">Event location:</t>
        </is>
      </c>
      <c r="D8" s="24"/>
    </row>
    <row r="9" spans="1:4" s="28" customFormat="1" x14ac:dyDescent="0.3">
      <c r="A9" s="137" t="inlineStr">
        <is>
          <t xml:space="preserve">DAC Simulator Testing
(Performed during FAT)</t>
        </is>
      </c>
      <c r="B9" s="30">
        <v>1</v>
      </c>
      <c r="C9" s="30" t="inlineStr">
        <is>
          <t xml:space="preserve">Did the DAC recognize the fault?  </t>
        </is>
      </c>
      <c r="D9" s="25"/>
    </row>
    <row r="10" spans="1:4" s="28" customFormat="1" ht="28.8" x14ac:dyDescent="0.3">
      <c r="A10" s="138"/>
      <c r="B10" s="29">
        <v>2</v>
      </c>
      <c r="C10" s="29" t="inlineStr">
        <is>
          <t xml:space="preserve">Did the recloser upstream of the fault location open to isolate? </t>
        </is>
      </c>
      <c r="D10" s="23"/>
    </row>
    <row r="11" spans="1:4" s="28" customFormat="1" ht="28.8" x14ac:dyDescent="0.3">
      <c r="A11" s="138"/>
      <c r="B11" s="30">
        <v>3</v>
      </c>
      <c r="C11" s="30" t="inlineStr">
        <is>
          <t xml:space="preserve">Did the recloser downstream of the fault location open to isolate?  </t>
        </is>
      </c>
      <c r="D11" s="25"/>
    </row>
    <row r="12" spans="1:4" s="28" customFormat="1" x14ac:dyDescent="0.3">
      <c r="A12" s="138"/>
      <c r="B12" s="29">
        <v>4</v>
      </c>
      <c r="C12" s="29" t="inlineStr">
        <is>
          <t xml:space="preserve">Did an acceptable reconfiguration occur?</t>
        </is>
      </c>
      <c r="D12" s="23"/>
    </row>
    <row r="13" spans="1:4" s="28" customFormat="1" x14ac:dyDescent="0.3">
      <c r="A13" s="138"/>
      <c r="B13" s="30">
        <v>5</v>
      </c>
      <c r="C13" s="30" t="inlineStr">
        <is>
          <t xml:space="preserve">Which, if any, initially closed points opened to isolate?</t>
        </is>
      </c>
      <c r="D13" s="31"/>
    </row>
    <row r="14" spans="1:4" s="28" customFormat="1" x14ac:dyDescent="0.3">
      <c r="A14" s="138"/>
      <c r="B14" s="29">
        <v>6</v>
      </c>
      <c r="C14" s="29" t="inlineStr">
        <is>
          <t xml:space="preserve">Which, if any, initially open points closed to restore load?</t>
        </is>
      </c>
      <c r="D14" s="24"/>
    </row>
    <row r="15" spans="1:4" s="28" customFormat="1" ht="28.8" x14ac:dyDescent="0.3">
      <c r="A15" s="138"/>
      <c r="B15" s="30">
        <v>7</v>
      </c>
      <c r="C15" s="30" t="inlineStr">
        <is>
          <t xml:space="preserve">Remove the event cause and trigger Return to Normal. Does a successful RTN occur?</t>
        </is>
      </c>
      <c r="D15" s="25"/>
    </row>
    <row r="16" spans="1:4" s="28" customFormat="1" x14ac:dyDescent="0.3">
      <c r="A16" s="138"/>
      <c r="B16" s="53">
        <v>8</v>
      </c>
      <c r="C16" s="53" t="inlineStr">
        <is>
          <t xml:space="preserve">Comments: </t>
        </is>
      </c>
      <c r="D16" s="54"/>
    </row>
    <row r="17" spans="1:4" s="28" customFormat="1" x14ac:dyDescent="0.3">
      <c r="A17" s="138"/>
      <c r="B17" s="36"/>
      <c r="C17" s="36" t="inlineStr">
        <is>
          <t xml:space="preserve"> FAT Test Engineer:</t>
        </is>
      </c>
      <c r="D17" s="31"/>
    </row>
    <row r="18" spans="1:4" s="28" customFormat="1" x14ac:dyDescent="0.3">
      <c r="A18" s="139"/>
      <c r="B18" s="59"/>
      <c r="C18" s="58" t="inlineStr">
        <is>
          <t xml:space="preserve">Date:</t>
        </is>
      </c>
      <c r="D18" s="67"/>
    </row>
    <row r="19" spans="1:4" s="41" customFormat="1" hidden="1" x14ac:dyDescent="0.3">
      <c r="A19" s="132"/>
      <c r="B19" s="132"/>
      <c r="C19" s="132"/>
      <c r="D19" s="132"/>
    </row>
    <row r="20" spans="1:4" s="41" customFormat="1" hidden="1" x14ac:dyDescent="0.3">
      <c r="A20" s="133"/>
      <c r="B20" s="133"/>
      <c r="C20" s="133"/>
      <c r="D20" s="133"/>
    </row>
    <row r="21" spans="1:4" s="28" customFormat="1" ht="43.2" hidden="1" x14ac:dyDescent="0.3">
      <c r="A21" s="130" t="inlineStr">
        <is>
          <t xml:space="preserve">Live Testing
(Performed during SAT)</t>
        </is>
      </c>
      <c r="B21" s="29">
        <v>1</v>
      </c>
      <c r="C21" s="29" t="inlineStr">
        <is>
          <t xml:space="preserve">Verify voltage levels are normal (force in the DAC if necessary after disconnect switches are open) for the following</t>
        </is>
      </c>
      <c r="D21" s="24"/>
    </row>
    <row r="22" spans="1:4" s="28" customFormat="1" ht="28.8" hidden="1" x14ac:dyDescent="0.3">
      <c r="A22" s="131"/>
      <c r="B22" s="42">
        <v>2</v>
      </c>
      <c r="C22" s="42" t="inlineStr">
        <is>
          <t xml:space="preserve">Insert fault at device and allow to reclose and hold after one operation</t>
        </is>
      </c>
      <c r="D22" s="43"/>
    </row>
    <row r="23" spans="1:4" s="28" customFormat="1" ht="28.8" hidden="1" x14ac:dyDescent="0.3">
      <c r="A23" s="131"/>
      <c r="B23" s="29">
        <v>3</v>
      </c>
      <c r="C23" s="29" t="inlineStr">
        <is>
          <t xml:space="preserve">Verify fault latch indication in DAC.  Wait for fault latch reset.</t>
        </is>
      </c>
      <c r="D23" s="24"/>
    </row>
    <row r="24" spans="1:4" s="28" customFormat="1" hidden="1" x14ac:dyDescent="0.3">
      <c r="A24" s="131"/>
      <c r="B24" s="30">
        <v>4</v>
      </c>
      <c r="C24" s="30" t="inlineStr">
        <is>
          <t xml:space="preserve">Insert fault at device and drive to lockout</t>
        </is>
      </c>
      <c r="D24" s="31"/>
    </row>
    <row r="25" spans="1:4" s="28" customFormat="1" hidden="1" x14ac:dyDescent="0.3">
      <c r="A25" s="131"/>
      <c r="B25" s="29">
        <v>5</v>
      </c>
      <c r="C25" s="29" t="inlineStr">
        <is>
          <t xml:space="preserve">Verify in SCADA and DAC “Reconfiguration Started” asserts</t>
        </is>
      </c>
      <c r="D25" s="24"/>
    </row>
    <row r="26" spans="1:4" s="28" customFormat="1" hidden="1" x14ac:dyDescent="0.3">
      <c r="A26" s="131"/>
      <c r="B26" s="30">
        <v>6</v>
      </c>
      <c r="C26" s="30" t="inlineStr">
        <is>
          <t xml:space="preserve">Verify correct close and open operations occur..</t>
        </is>
      </c>
      <c r="D26" s="31"/>
    </row>
    <row r="27" spans="1:4" s="28" customFormat="1" ht="28.8" hidden="1" x14ac:dyDescent="0.3">
      <c r="A27" s="131"/>
      <c r="B27" s="29">
        <v>7</v>
      </c>
      <c r="C27" s="29" t="inlineStr">
        <is>
          <t xml:space="preserve">Verify in SCADA and DAC “Reconfiguration Complete” asserts.</t>
        </is>
      </c>
      <c r="D27" s="24"/>
    </row>
    <row r="28" spans="1:4" s="28" customFormat="1" ht="28.8" hidden="1" x14ac:dyDescent="0.3">
      <c r="A28" s="131"/>
      <c r="B28" s="30">
        <v>8</v>
      </c>
      <c r="C28" s="30" t="inlineStr">
        <is>
          <t xml:space="preserve">Verify if settings groups changed appropriately and update tables in Settings Groups Checkout accordingly.</t>
        </is>
      </c>
      <c r="D28" s="31"/>
    </row>
    <row r="29" spans="1:4" s="28" customFormat="1" hidden="1" x14ac:dyDescent="0.3">
      <c r="A29" s="131"/>
      <c r="B29" s="29">
        <v>9</v>
      </c>
      <c r="C29" s="29" t="inlineStr">
        <is>
          <t xml:space="preserve">Assert Return to Normal command from SCADA.</t>
        </is>
      </c>
      <c r="D29" s="24"/>
    </row>
    <row r="30" spans="1:4" s="28" customFormat="1" ht="28.8" hidden="1" x14ac:dyDescent="0.3">
      <c r="A30" s="131"/>
      <c r="B30" s="30">
        <v>10</v>
      </c>
      <c r="C30" s="30" t="inlineStr">
        <is>
          <t xml:space="preserve">Verify the devices which operated are returned to normal by the DAC.</t>
        </is>
      </c>
      <c r="D30" s="31"/>
    </row>
    <row r="31" spans="1:4" s="28" customFormat="1" ht="28.8" hidden="1" x14ac:dyDescent="0.3">
      <c r="A31" s="131"/>
      <c r="B31" s="29">
        <v>11</v>
      </c>
      <c r="C31" s="29" t="inlineStr">
        <is>
          <t xml:space="preserve">Verify if settings groups changed appropriately and update tables in Section 10 accordingly</t>
        </is>
      </c>
      <c r="D31" s="24"/>
    </row>
    <row r="32" spans="1:4" s="28" customFormat="1" hidden="1" x14ac:dyDescent="0.3">
      <c r="A32" s="131"/>
      <c r="B32" s="30">
        <v>12</v>
      </c>
      <c r="C32" s="30" t="inlineStr">
        <is>
          <t xml:space="preserve">Verify proper SOE logging and event recording in the DAC.</t>
        </is>
      </c>
      <c r="D32" s="31"/>
    </row>
    <row r="33" spans="1:4" s="28" customFormat="1" ht="30" hidden="1" customHeight="1" x14ac:dyDescent="0.3">
      <c r="A33" s="131"/>
      <c r="B33" s="29">
        <v>13</v>
      </c>
      <c r="C33" s="29" t="inlineStr">
        <is>
          <t xml:space="preserve">Comments: </t>
        </is>
      </c>
      <c r="D33" s="24"/>
    </row>
    <row r="34" spans="1:4" s="28" customFormat="1" ht="30" hidden="1" customHeight="1" x14ac:dyDescent="0.3">
      <c r="A34" s="131"/>
      <c r="B34" s="36"/>
      <c r="C34" s="36" t="inlineStr">
        <is>
          <t xml:space="preserve">Live Test Representative:</t>
        </is>
      </c>
      <c r="D34" s="31"/>
    </row>
    <row r="35" spans="1:4" s="28" customFormat="1" ht="30" hidden="1" customHeight="1" x14ac:dyDescent="0.3">
      <c r="A35" s="131"/>
      <c r="B35" s="32"/>
      <c r="C35" s="32" t="inlineStr">
        <is>
          <t xml:space="preserve">Date:</t>
        </is>
      </c>
      <c r="D35" s="24"/>
    </row>
    <row r="36" spans="1:1" x14ac:dyDescent="0.3">
      <c r="A36" t="inlineStr">
        <is>
          <t xml:space="preserve">* - Opened due to Protection</t>
        </is>
      </c>
    </row>
    <row r="37" spans="1:1" x14ac:dyDescent="0.3">
      <c r="A37" t="inlineStr">
        <is>
          <t xml:space="preserve">** - Closed to correct Miscoordination</t>
        </is>
      </c>
    </row>
  </sheetData>
  <mergeCells count="7">
    <mergeCell ref="A21:A35"/>
    <mergeCell ref="A19:D20"/>
    <mergeCell ref="A1:C1"/>
    <mergeCell ref="A2:C2"/>
    <mergeCell ref="A5:B5"/>
    <mergeCell ref="A9:A18"/>
    <mergeCell ref="A6:B8"/>
  </mergeCells>
  <dataValidations count="1">
    <dataValidation type="list" allowBlank="1" showInputMessage="1" showErrorMessage="1" sqref="D15 D9:D12">
      <formula1>"YES,NO, N/A"</formula1>
    </dataValidation>
  </dataValidations>
  <pageMargins left="0.7" right="0.7" top="0.75" bottom="0.75" header="0.3" footer="0.3"/>
  <pageSetup scale="55" fitToWidth="0" fitToHeight="0" orientation="landscape" horizontalDpi="1200" verticalDpi="1200"/>
  <headerFooter scaleWithDoc="0">
    <oddFooter>&amp;LDate Code: 20240404
SEL PROPRIETARY INFORMATION&amp;CCLECO
CLECO - DSMART - Slidell 13.2kV&amp;RPage &amp;P of &amp;N
Project 033006.000.00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>
      <pane xSplit="3" ySplit="8" topLeftCell="D9" activePane="bottomRight" state="frozen"/>
      <selection pane="bottomRight" activeCell="D9" sqref="D9"/>
    </sheetView>
  </sheetViews>
  <sheetFormatPr defaultRowHeight="14.4" x14ac:dyDescent="0.3"/>
  <cols>
    <col min="1" max="1" width="28.6640625" customWidth="1"/>
    <col min="2" max="2" width="2" customWidth="1"/>
    <col min="3" max="3" width="46.44140625" customWidth="1"/>
    <col min="4" max="4" width="26.6640625" customWidth="1"/>
  </cols>
  <sheetData>
    <row r="1" spans="1:3" ht="18.600000000000001" thickBot="1" x14ac:dyDescent="0.35">
      <c r="A1" s="121" t="inlineStr">
        <is>
          <t xml:space="preserve">Open Phase Test Checkout</t>
        </is>
      </c>
      <c r="B1" s="121"/>
      <c r="C1" s="121"/>
    </row>
    <row r="2" spans="1:3" ht="78" customHeight="1" thickBot="1" x14ac:dyDescent="0.35">
      <c r="A2" s="122" t="inlineStr">
        <is>
          <t xml:space="preserve">An open phase event is triggered by all PTs downstream of a line section observing dead voltage on one or more common phases. A successful reconfiguration results in downstream isolation of the open phase and restoration up to the isolation point. An open phase test will be performed for each line segment with a PT that is not identified as a source.
</t>
        </is>
      </c>
      <c r="B2" s="123"/>
      <c r="C2" s="124"/>
    </row>
    <row r="4" spans="4:4" x14ac:dyDescent="0.3">
      <c r="D4" s="134"/>
    </row>
    <row r="5" spans="1:4" x14ac:dyDescent="0.3">
      <c r="A5" s="38"/>
      <c r="B5" s="28"/>
      <c r="C5" s="28"/>
      <c r="D5" s="95" t="str">
        <f>"OP-"&amp;COLUMN()-3</f>
        <v>OP-1</v>
      </c>
    </row>
    <row r="6" spans="1:4" x14ac:dyDescent="0.3">
      <c r="A6" s="131" t="inlineStr">
        <is>
          <t xml:space="preserve">Setup</t>
        </is>
      </c>
      <c r="B6" s="131"/>
      <c r="C6" s="37" t="inlineStr">
        <is>
          <t xml:space="preserve">Feeder :</t>
        </is>
      </c>
      <c r="D6" s="23"/>
    </row>
    <row r="7" spans="1:4" ht="28.8" x14ac:dyDescent="0.3">
      <c r="A7" s="131"/>
      <c r="B7" s="131"/>
      <c r="C7" s="37" t="inlineStr">
        <is>
          <t xml:space="preserve">Configuration:</t>
        </is>
      </c>
      <c r="D7" s="24"/>
    </row>
    <row r="8" spans="1:4" x14ac:dyDescent="0.3">
      <c r="A8" s="131"/>
      <c r="B8" s="131"/>
      <c r="C8" s="37" t="inlineStr">
        <is>
          <t xml:space="preserve">Event location:</t>
        </is>
      </c>
      <c r="D8" s="24"/>
    </row>
    <row r="9" spans="1:4" x14ac:dyDescent="0.3">
      <c r="A9" s="141" t="inlineStr">
        <is>
          <t xml:space="preserve">DAC Simulator Testing
(Performed during FAT)</t>
        </is>
      </c>
      <c r="B9" s="30">
        <v>1</v>
      </c>
      <c r="C9" s="33" t="inlineStr">
        <is>
          <t xml:space="preserve">Did the DAC recognize the open phase?  </t>
        </is>
      </c>
      <c r="D9" s="25"/>
    </row>
    <row r="10" spans="1:4" x14ac:dyDescent="0.3">
      <c r="A10" s="141"/>
      <c r="B10" s="29">
        <v>2</v>
      </c>
      <c r="C10" s="34" t="inlineStr">
        <is>
          <t xml:space="preserve">Did an acceptable reconfiguration occur? </t>
        </is>
      </c>
      <c r="D10" s="23"/>
    </row>
    <row r="11" spans="1:4" x14ac:dyDescent="0.3">
      <c r="A11" s="141"/>
      <c r="B11" s="30">
        <v>3</v>
      </c>
      <c r="C11" s="33" t="inlineStr">
        <is>
          <t xml:space="preserve">Which, if any, initially closed points opened?  </t>
        </is>
      </c>
      <c r="D11" s="31"/>
    </row>
    <row r="12" spans="1:4" x14ac:dyDescent="0.3">
      <c r="A12" s="141"/>
      <c r="B12" s="29">
        <v>4</v>
      </c>
      <c r="C12" s="34" t="inlineStr">
        <is>
          <t xml:space="preserve">Which, if any, initially open points closed?</t>
        </is>
      </c>
      <c r="D12" s="24"/>
    </row>
    <row r="13" spans="1:4" x14ac:dyDescent="0.3">
      <c r="A13" s="141"/>
      <c r="B13" s="30">
        <v>5</v>
      </c>
      <c r="C13" s="33" t="inlineStr">
        <is>
          <t xml:space="preserve">Comments: </t>
        </is>
      </c>
      <c r="D13" s="26"/>
    </row>
    <row r="14" spans="1:4" x14ac:dyDescent="0.3">
      <c r="A14" s="141"/>
      <c r="B14" s="32"/>
      <c r="C14" s="32" t="inlineStr">
        <is>
          <t xml:space="preserve"> FAT Test engineer:</t>
        </is>
      </c>
      <c r="D14" s="80"/>
    </row>
    <row r="15" spans="1:4" x14ac:dyDescent="0.3">
      <c r="A15" s="141"/>
      <c r="B15" s="30"/>
      <c r="C15" s="35" t="inlineStr">
        <is>
          <t xml:space="preserve">Date:</t>
        </is>
      </c>
      <c r="D15" s="27"/>
    </row>
    <row r="16" spans="1:4" hidden="1" x14ac:dyDescent="0.3">
      <c r="A16" s="140"/>
      <c r="B16" s="140"/>
      <c r="C16" s="140"/>
      <c r="D16" s="140"/>
    </row>
    <row r="17" spans="1:4" hidden="1" x14ac:dyDescent="0.3">
      <c r="A17" s="140"/>
      <c r="B17" s="140"/>
      <c r="C17" s="140"/>
      <c r="D17" s="140"/>
    </row>
    <row r="18" spans="1:4" ht="43.2" hidden="1" x14ac:dyDescent="0.3">
      <c r="A18" s="130" t="inlineStr">
        <is>
          <t xml:space="preserve">Live Testing
(Performed during SAT)</t>
        </is>
      </c>
      <c r="B18" s="29">
        <v>1</v>
      </c>
      <c r="C18" s="29" t="inlineStr">
        <is>
          <t xml:space="preserve">Verify voltage levels are normal (force in the DAC if necessary after disconnect switches are open) for the following</t>
        </is>
      </c>
      <c r="D18" s="29"/>
    </row>
    <row r="19" spans="1:4" ht="43.2" hidden="1" x14ac:dyDescent="0.3">
      <c r="A19" s="131"/>
      <c r="B19" s="30">
        <v>2</v>
      </c>
      <c r="C19" s="30" t="inlineStr">
        <is>
          <t xml:space="preserve">At least 60 seconds since the last DAC reset, set the DAC to show a loss of supply in one phase.  The following devices lose voltage</t>
        </is>
      </c>
      <c r="D19" s="30"/>
    </row>
    <row r="20" spans="1:4" ht="43.2" hidden="1" x14ac:dyDescent="0.3">
      <c r="A20" s="131"/>
      <c r="B20" s="29">
        <v>3</v>
      </c>
      <c r="C20" s="29" t="inlineStr">
        <is>
          <t xml:space="preserve">Verify in SCADA and DAC “Event Detected” asserts, then “Reconfiguration Started” asserts 60 seconds later.</t>
        </is>
      </c>
      <c r="D20" s="29"/>
    </row>
    <row r="21" spans="1:4" hidden="1" x14ac:dyDescent="0.3">
      <c r="A21" s="131"/>
      <c r="B21" s="30">
        <v>4</v>
      </c>
      <c r="C21" s="30" t="inlineStr">
        <is>
          <t xml:space="preserve">Verify correct close and open operations occur.</t>
        </is>
      </c>
      <c r="D21" s="30"/>
    </row>
    <row r="22" spans="1:4" ht="28.8" hidden="1" x14ac:dyDescent="0.3">
      <c r="A22" s="131"/>
      <c r="B22" s="29">
        <v>5</v>
      </c>
      <c r="C22" s="29" t="inlineStr">
        <is>
          <t xml:space="preserve">Verify in SCADA and DAC “Reconfiguration Complete” asserts</t>
        </is>
      </c>
      <c r="D22" s="29"/>
    </row>
    <row r="23" spans="1:4" ht="28.8" hidden="1" x14ac:dyDescent="0.3">
      <c r="A23" s="131"/>
      <c r="B23" s="30">
        <v>6</v>
      </c>
      <c r="C23" s="30" t="inlineStr">
        <is>
          <t xml:space="preserve">Force voltage to normal levels and assert Return to Normal command from SCADA.</t>
        </is>
      </c>
      <c r="D23" s="30"/>
    </row>
    <row r="24" spans="1:4" ht="28.8" hidden="1" x14ac:dyDescent="0.3">
      <c r="A24" s="131"/>
      <c r="B24" s="29">
        <v>7</v>
      </c>
      <c r="C24" s="29" t="inlineStr">
        <is>
          <t xml:space="preserve">Verify the devices which operated are returned to normal by the DAC.</t>
        </is>
      </c>
      <c r="D24" s="29"/>
    </row>
    <row r="25" spans="1:4" ht="28.8" hidden="1" x14ac:dyDescent="0.3">
      <c r="A25" s="131"/>
      <c r="B25" s="30">
        <v>8</v>
      </c>
      <c r="C25" s="30" t="inlineStr">
        <is>
          <t xml:space="preserve">Verify proper SOE logging and event recording in the DAC.</t>
        </is>
      </c>
      <c r="D25" s="30"/>
    </row>
    <row r="26" spans="1:4" ht="30" hidden="1" customHeight="1" x14ac:dyDescent="0.3">
      <c r="A26" s="131"/>
      <c r="B26" s="29">
        <v>9</v>
      </c>
      <c r="C26" s="29" t="inlineStr">
        <is>
          <t xml:space="preserve">Comments:</t>
        </is>
      </c>
      <c r="D26" s="29"/>
    </row>
    <row r="27" spans="1:4" ht="30" hidden="1" customHeight="1" x14ac:dyDescent="0.3">
      <c r="A27" s="131"/>
      <c r="B27" s="36"/>
      <c r="C27" s="36" t="inlineStr">
        <is>
          <t xml:space="preserve">Live Test Representative:</t>
        </is>
      </c>
      <c r="D27" s="30"/>
    </row>
    <row r="28" spans="1:4" ht="30" hidden="1" customHeight="1" x14ac:dyDescent="0.3">
      <c r="A28" s="131"/>
      <c r="B28" s="32"/>
      <c r="C28" s="32" t="inlineStr">
        <is>
          <t xml:space="preserve">Date:</t>
        </is>
      </c>
      <c r="D28" s="29"/>
    </row>
  </sheetData>
  <mergeCells count="6">
    <mergeCell ref="A18:A28"/>
    <mergeCell ref="A6:B8"/>
    <mergeCell ref="A16:D17"/>
    <mergeCell ref="A1:C1"/>
    <mergeCell ref="A2:C2"/>
    <mergeCell ref="A9:A15"/>
  </mergeCells>
  <dataValidations count="1">
    <dataValidation type="list" allowBlank="1" showInputMessage="1" showErrorMessage="1" sqref="D9:D10">
      <formula1>"YES,NO, N/A"</formula1>
    </dataValidation>
  </dataValidations>
  <pageMargins left="0.7" right="0.7" top="0.75" bottom="0.75" header="0.3" footer="0.3"/>
  <pageSetup scale="55" fitToWidth="0" fitToHeight="0" orientation="landscape" horizontalDpi="1200" verticalDpi="1200"/>
  <headerFooter scaleWithDoc="0">
    <oddFooter>&amp;LDate Code: 20240404
SEL PROPRIETARY INFORMATION&amp;CCLECO
CLECO - DSMART - Slidell 13.2kV&amp;RPage &amp;P of &amp;N
Project 033006.000.00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0"/>
  <sheetViews>
    <sheetView workbookViewId="0">
      <pane xSplit="3" ySplit="8" topLeftCell="D9" activePane="bottomRight" state="frozen"/>
      <selection pane="bottomRight" activeCell="D9" sqref="D9"/>
    </sheetView>
  </sheetViews>
  <sheetFormatPr defaultRowHeight="14.4" x14ac:dyDescent="0.3"/>
  <cols>
    <col min="1" max="1" width="28.6640625" customWidth="1"/>
    <col min="2" max="2" width="3.109375" customWidth="1"/>
    <col min="3" max="3" width="47.33203125" customWidth="1"/>
    <col min="4" max="4" width="26.6640625" style="22" customWidth="1"/>
  </cols>
  <sheetData>
    <row r="1" spans="1:3" ht="18.600000000000001" thickBot="1" x14ac:dyDescent="0.35">
      <c r="A1" s="121" t="inlineStr">
        <is>
          <t xml:space="preserve">Miscoordination Test Checkout</t>
        </is>
      </c>
      <c r="B1" s="121"/>
      <c r="C1" s="121"/>
    </row>
    <row r="2" spans="1:3" ht="78" customHeight="1" thickBot="1" x14ac:dyDescent="0.35">
      <c r="A2" s="122" t="inlineStr">
        <is>
          <t xml:space="preserve">A miscoordination event is triggered by a device tripping to lockout with a device further downstream also asserting fault indicators. A successful reconfiguration results in isolation of the actual faulted line sections and restoration up to the isolation points, if possible.
A miscoordination test will be performed per each feeder.</t>
        </is>
      </c>
      <c r="B2" s="142"/>
      <c r="C2" s="143"/>
    </row>
    <row r="4" spans="4:4" x14ac:dyDescent="0.3">
      <c r="D4" s="97"/>
    </row>
    <row r="5" spans="1:4" x14ac:dyDescent="0.3">
      <c r="A5" s="7"/>
      <c r="D5" s="95" t="str">
        <f>"MIS-"&amp;COLUMN()-3</f>
        <v>MIS-1</v>
      </c>
    </row>
    <row r="6" spans="1:4" s="28" customFormat="1" x14ac:dyDescent="0.3">
      <c r="A6" s="131" t="inlineStr">
        <is>
          <t xml:space="preserve">Setup</t>
        </is>
      </c>
      <c r="B6" s="131"/>
      <c r="C6" s="37" t="inlineStr">
        <is>
          <t xml:space="preserve">Feeder :</t>
        </is>
      </c>
      <c r="D6" s="23"/>
    </row>
    <row r="7" spans="1:4" s="28" customFormat="1" ht="28.8" x14ac:dyDescent="0.3">
      <c r="A7" s="131"/>
      <c r="B7" s="131"/>
      <c r="C7" s="37" t="inlineStr">
        <is>
          <t xml:space="preserve">Configuration:</t>
        </is>
      </c>
      <c r="D7" s="24"/>
    </row>
    <row r="8" spans="1:4" s="28" customFormat="1" ht="28.8" x14ac:dyDescent="0.3">
      <c r="A8" s="131"/>
      <c r="B8" s="131"/>
      <c r="C8" s="37" t="inlineStr">
        <is>
          <t xml:space="preserve">Event location:</t>
        </is>
      </c>
      <c r="D8" s="24"/>
    </row>
    <row r="9" spans="1:4" s="28" customFormat="1" x14ac:dyDescent="0.3">
      <c r="A9" s="141" t="inlineStr">
        <is>
          <t xml:space="preserve">DAC Simulator Testing
(Performed during FAT)</t>
        </is>
      </c>
      <c r="B9" s="33">
        <v>1</v>
      </c>
      <c r="C9" s="33" t="inlineStr">
        <is>
          <t xml:space="preserve">Did the DAC recognize the miscoordination?</t>
        </is>
      </c>
      <c r="D9" s="25"/>
    </row>
    <row r="10" spans="1:4" s="28" customFormat="1" x14ac:dyDescent="0.3">
      <c r="A10" s="141"/>
      <c r="B10" s="34">
        <v>2</v>
      </c>
      <c r="C10" s="34" t="inlineStr">
        <is>
          <t xml:space="preserve">Did an acceptable reconfiguration occur?</t>
        </is>
      </c>
      <c r="D10" s="23"/>
    </row>
    <row r="11" spans="1:4" s="28" customFormat="1" x14ac:dyDescent="0.3">
      <c r="A11" s="141"/>
      <c r="B11" s="33">
        <v>3</v>
      </c>
      <c r="C11" s="33" t="inlineStr">
        <is>
          <t xml:space="preserve">Which, if any, initially closed points opened?  </t>
        </is>
      </c>
      <c r="D11" s="31"/>
    </row>
    <row r="12" spans="1:4" s="28" customFormat="1" x14ac:dyDescent="0.3">
      <c r="A12" s="141"/>
      <c r="B12" s="34">
        <v>4</v>
      </c>
      <c r="C12" s="34" t="inlineStr">
        <is>
          <t xml:space="preserve">Which, if any, initially open points closed?</t>
        </is>
      </c>
      <c r="D12" s="24"/>
    </row>
    <row r="13" spans="1:4" s="28" customFormat="1" x14ac:dyDescent="0.3">
      <c r="A13" s="141"/>
      <c r="B13" s="33">
        <v>5</v>
      </c>
      <c r="C13" s="33" t="inlineStr">
        <is>
          <t xml:space="preserve">Comments: </t>
        </is>
      </c>
      <c r="D13" s="31"/>
    </row>
    <row r="14" spans="1:4" s="28" customFormat="1" x14ac:dyDescent="0.3">
      <c r="A14" s="141"/>
      <c r="B14" s="34"/>
      <c r="C14" s="34" t="inlineStr">
        <is>
          <t xml:space="preserve"> FAT Test engineer:</t>
        </is>
      </c>
      <c r="D14" s="80"/>
    </row>
    <row r="15" spans="1:4" s="28" customFormat="1" x14ac:dyDescent="0.3">
      <c r="A15" s="141"/>
      <c r="B15" s="33"/>
      <c r="C15" s="33" t="inlineStr">
        <is>
          <t xml:space="preserve">Date:</t>
        </is>
      </c>
      <c r="D15" s="27"/>
    </row>
    <row r="16" spans="1:3" s="28" customFormat="1" hidden="1" x14ac:dyDescent="0.3">
      <c r="A16" s="140"/>
      <c r="B16" s="140"/>
      <c r="C16" s="140"/>
    </row>
    <row r="17" spans="1:3" s="28" customFormat="1" hidden="1" x14ac:dyDescent="0.3">
      <c r="A17" s="140"/>
      <c r="B17" s="140"/>
      <c r="C17" s="140"/>
    </row>
    <row r="18" spans="1:4" s="28" customFormat="1" ht="43.2" hidden="1" x14ac:dyDescent="0.3">
      <c r="A18" s="130" t="inlineStr">
        <is>
          <t xml:space="preserve">Live Testing
(Performed during SAT)</t>
        </is>
      </c>
      <c r="B18" s="34">
        <v>1</v>
      </c>
      <c r="C18" s="29" t="inlineStr">
        <is>
          <t xml:space="preserve">Verify voltage levels are normal (force in the DAC if necessary after disconnect switches are open) for the following</t>
        </is>
      </c>
      <c r="D18" s="23"/>
    </row>
    <row r="19" spans="1:4" s="28" customFormat="1" hidden="1" x14ac:dyDescent="0.3">
      <c r="A19" s="130"/>
      <c r="B19" s="33">
        <v>2</v>
      </c>
      <c r="C19" s="30" t="inlineStr">
        <is>
          <t xml:space="preserve">Trigger fault latch at the following devices:</t>
        </is>
      </c>
      <c r="D19" s="25"/>
    </row>
    <row r="20" spans="1:4" s="28" customFormat="1" ht="72" hidden="1" x14ac:dyDescent="0.3">
      <c r="A20" s="130"/>
      <c r="B20" s="34">
        <v>3</v>
      </c>
      <c r="C20" s="29" t="inlineStr">
        <is>
          <t xml:space="preserve"> a) Simulate fault driven to lockout at breaker by making the following devices lose voltage.**
                                     OR
 b) Insert fault at miscoordination device listed and drive to lockout.**</t>
        </is>
      </c>
      <c r="D20" s="23"/>
    </row>
    <row r="21" spans="1:4" s="28" customFormat="1" ht="28.8" hidden="1" x14ac:dyDescent="0.3">
      <c r="A21" s="130"/>
      <c r="B21" s="33">
        <v>4</v>
      </c>
      <c r="C21" s="30" t="inlineStr">
        <is>
          <t xml:space="preserve">Verify in SCADA and DAC “Reconfiguration Started” asserts</t>
        </is>
      </c>
      <c r="D21" s="25"/>
    </row>
    <row r="22" spans="1:4" s="28" customFormat="1" hidden="1" x14ac:dyDescent="0.3">
      <c r="A22" s="130"/>
      <c r="B22" s="34">
        <v>5</v>
      </c>
      <c r="C22" s="29" t="inlineStr">
        <is>
          <t xml:space="preserve">Verify correct close and open operations occur in order.</t>
        </is>
      </c>
      <c r="D22" s="23"/>
    </row>
    <row r="23" spans="1:4" s="28" customFormat="1" ht="28.8" hidden="1" x14ac:dyDescent="0.3">
      <c r="A23" s="130"/>
      <c r="B23" s="33">
        <v>6</v>
      </c>
      <c r="C23" s="30" t="inlineStr">
        <is>
          <t xml:space="preserve">Verify in SCADA and DAC “Reconfiguration Complete” and “Miscoordination” asserts</t>
        </is>
      </c>
      <c r="D23" s="25"/>
    </row>
    <row r="24" spans="1:4" s="28" customFormat="1" hidden="1" x14ac:dyDescent="0.3">
      <c r="A24" s="130"/>
      <c r="B24" s="34">
        <v>7</v>
      </c>
      <c r="C24" s="29" t="inlineStr">
        <is>
          <t xml:space="preserve">Assert Return to Normal command from SCADA.</t>
        </is>
      </c>
      <c r="D24" s="23"/>
    </row>
    <row r="25" spans="1:4" s="28" customFormat="1" ht="28.8" hidden="1" x14ac:dyDescent="0.3">
      <c r="A25" s="130"/>
      <c r="B25" s="33">
        <v>8</v>
      </c>
      <c r="C25" s="30" t="inlineStr">
        <is>
          <t xml:space="preserve">Verify the devices which operated are returned to normal by the DAC.</t>
        </is>
      </c>
      <c r="D25" s="25"/>
    </row>
    <row r="26" spans="1:4" s="28" customFormat="1" ht="28.8" hidden="1" x14ac:dyDescent="0.3">
      <c r="A26" s="130"/>
      <c r="B26" s="34">
        <v>9</v>
      </c>
      <c r="C26" s="29" t="inlineStr">
        <is>
          <t xml:space="preserve">Verify proper SOE logging and event recording in the DAC</t>
        </is>
      </c>
      <c r="D26" s="23"/>
    </row>
    <row r="27" spans="1:4" s="28" customFormat="1" ht="30" hidden="1" customHeight="1" x14ac:dyDescent="0.3">
      <c r="A27" s="130"/>
      <c r="B27" s="33">
        <v>10</v>
      </c>
      <c r="C27" s="30" t="inlineStr">
        <is>
          <t xml:space="preserve">Comments: </t>
        </is>
      </c>
      <c r="D27" s="25"/>
    </row>
    <row r="28" spans="1:4" s="28" customFormat="1" ht="30" hidden="1" customHeight="1" x14ac:dyDescent="0.3">
      <c r="A28" s="130"/>
      <c r="B28" s="34"/>
      <c r="C28" s="29" t="inlineStr">
        <is>
          <t xml:space="preserve">Live Test Representative:</t>
        </is>
      </c>
      <c r="D28" s="23"/>
    </row>
    <row r="29" spans="1:4" s="28" customFormat="1" ht="30" hidden="1" customHeight="1" x14ac:dyDescent="0.3">
      <c r="A29" s="130"/>
      <c r="B29" s="33"/>
      <c r="C29" s="33" t="inlineStr">
        <is>
          <t xml:space="preserve">Date:</t>
        </is>
      </c>
      <c r="D29" s="25"/>
    </row>
    <row r="31" spans="1:1" x14ac:dyDescent="0.3">
      <c r="A31" t="inlineStr">
        <is>
          <t xml:space="preserve">Notes:</t>
        </is>
      </c>
    </row>
    <row r="32" spans="1:1" x14ac:dyDescent="0.3">
      <c r="A32" t="inlineStr">
        <is>
          <t xml:space="preserve">*- Closed to correct miscoordination</t>
        </is>
      </c>
    </row>
    <row r="33" spans="1:1" x14ac:dyDescent="0.3">
      <c r="A33" t="inlineStr">
        <is>
          <t xml:space="preserve">**- Specify choice: a) or b)</t>
        </is>
      </c>
    </row>
    <row r="35" spans="4:4" x14ac:dyDescent="0.3">
      <c r="D35"/>
    </row>
    <row r="36" spans="4:4" x14ac:dyDescent="0.3">
      <c r="D36"/>
    </row>
    <row r="37" spans="4:4" x14ac:dyDescent="0.3">
      <c r="D37"/>
    </row>
    <row r="38" spans="4:4" x14ac:dyDescent="0.3">
      <c r="D38"/>
    </row>
    <row r="39" spans="4:4" x14ac:dyDescent="0.3">
      <c r="D39"/>
    </row>
    <row r="40" spans="4:4" x14ac:dyDescent="0.3">
      <c r="D40"/>
    </row>
    <row r="41" spans="4:4" x14ac:dyDescent="0.3">
      <c r="D41"/>
    </row>
    <row r="42" spans="4:4" x14ac:dyDescent="0.3">
      <c r="D42"/>
    </row>
    <row r="43" spans="4:4" x14ac:dyDescent="0.3">
      <c r="D43"/>
    </row>
    <row r="44" spans="4:4" x14ac:dyDescent="0.3">
      <c r="D44"/>
    </row>
    <row r="45" spans="4:4" x14ac:dyDescent="0.3">
      <c r="D45"/>
    </row>
    <row r="46" spans="4:4" x14ac:dyDescent="0.3">
      <c r="D46"/>
    </row>
    <row r="47" spans="4:4" x14ac:dyDescent="0.3">
      <c r="D47"/>
    </row>
    <row r="48" spans="4:4" x14ac:dyDescent="0.3">
      <c r="D48"/>
    </row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</sheetData>
  <mergeCells count="6">
    <mergeCell ref="A1:C1"/>
    <mergeCell ref="A9:A15"/>
    <mergeCell ref="A18:A29"/>
    <mergeCell ref="A6:B8"/>
    <mergeCell ref="A16:C17"/>
    <mergeCell ref="A2:C2"/>
  </mergeCells>
  <dataValidations count="1">
    <dataValidation type="list" allowBlank="1" showInputMessage="1" showErrorMessage="1" sqref="D9:D10">
      <formula1>"YES,NO, N/A"</formula1>
    </dataValidation>
  </dataValidations>
  <pageMargins left="0.7" right="0.7" top="0.75" bottom="0.75" header="0.3" footer="0.3"/>
  <pageSetup scale="55" fitToWidth="3" orientation="landscape" horizontalDpi="1200" verticalDpi="1200"/>
  <headerFooter scaleWithDoc="0">
    <oddFooter>&amp;LDate Code: 20240404
SEL PROPRIETARY INFORMATION&amp;CCLECO
CLECO - DSMART - Slidell 13.2kV&amp;RPage &amp;P of &amp;N
Project 033006.000.00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pane xSplit="4" ySplit="9" topLeftCell="E10" activePane="bottomRight" state="frozen"/>
      <selection pane="bottomRight" activeCell="E10" sqref="E10"/>
    </sheetView>
  </sheetViews>
  <sheetFormatPr defaultRowHeight="14.4" x14ac:dyDescent="0.3"/>
  <cols>
    <col min="1" max="1" width="18.6640625" customWidth="1"/>
    <col min="2" max="2" width="16.44140625" customWidth="1"/>
    <col min="3" max="3" width="3.88671875" customWidth="1"/>
    <col min="4" max="4" width="51.6640625" customWidth="1"/>
    <col min="5" max="5" width="26.6640625" customWidth="1"/>
  </cols>
  <sheetData>
    <row r="1" spans="1:4" ht="18.600000000000001" thickBot="1" x14ac:dyDescent="0.35">
      <c r="A1" s="121" t="inlineStr">
        <is>
          <t xml:space="preserve">Abnormal Condition Test Checkout</t>
        </is>
      </c>
      <c r="B1" s="121"/>
      <c r="C1" s="121"/>
      <c r="D1" s="121"/>
    </row>
    <row r="2" spans="1:4" ht="78" customHeight="1" thickBot="1" x14ac:dyDescent="0.35">
      <c r="A2" s="122" t="inlineStr">
        <is>
          <t xml:space="preserve">An abnormal condition test is the rerunning of an already performed test but with the addition of an abnormal device along the event feeder. Abnormal statuses prevent automatic reconfiguration, so a successful test results in no operations along the abnormal feeder. Automatic reconfiguration may occur on other non-abnormal feeders.
At a minimum, one abnormal condition test will be conducted on each feeder.</t>
        </is>
      </c>
      <c r="B2" s="142"/>
      <c r="C2" s="142"/>
      <c r="D2" s="143"/>
    </row>
    <row r="4" spans="5:5" x14ac:dyDescent="0.3">
      <c r="E4" s="97"/>
    </row>
    <row r="5" spans="1:5" x14ac:dyDescent="0.3">
      <c r="A5" s="7"/>
      <c r="B5" s="7"/>
      <c r="E5" s="98" t="str">
        <f>"ABN-"&amp;COLUMN()-4</f>
        <v>ABN-1</v>
      </c>
    </row>
    <row r="6" spans="1:5" x14ac:dyDescent="0.3">
      <c r="A6" s="130" t="inlineStr">
        <is>
          <t xml:space="preserve">Setup</t>
        </is>
      </c>
      <c r="B6" s="130"/>
      <c r="C6" s="130"/>
      <c r="D6" s="32" t="inlineStr">
        <is>
          <t xml:space="preserve">Feeder:</t>
        </is>
      </c>
      <c r="E6" s="23"/>
    </row>
    <row r="7" spans="1:5" x14ac:dyDescent="0.3">
      <c r="A7" s="130"/>
      <c r="B7" s="130"/>
      <c r="C7" s="130"/>
      <c r="D7" s="46" t="inlineStr">
        <is>
          <t xml:space="preserve">Configuration:</t>
        </is>
      </c>
      <c r="E7" s="24"/>
    </row>
    <row r="8" spans="1:5" x14ac:dyDescent="0.3">
      <c r="A8" s="130"/>
      <c r="B8" s="130"/>
      <c r="C8" s="130"/>
      <c r="D8" s="46" t="inlineStr">
        <is>
          <t xml:space="preserve">Anbormal Condition:</t>
        </is>
      </c>
      <c r="E8" s="24"/>
    </row>
    <row r="9" spans="1:5" ht="30" customHeight="1" x14ac:dyDescent="0.3">
      <c r="A9" s="130"/>
      <c r="B9" s="130"/>
      <c r="C9" s="130"/>
      <c r="D9" s="46" t="inlineStr">
        <is>
          <t xml:space="preserve">Event location:</t>
        </is>
      </c>
      <c r="E9" s="24"/>
    </row>
    <row r="10" spans="1:5" ht="28.8" x14ac:dyDescent="0.3">
      <c r="A10" s="138" t="inlineStr">
        <is>
          <t xml:space="preserve">DAC Simulator Testing
(Performed during FAT)</t>
        </is>
      </c>
      <c r="B10" s="43" t="inlineStr">
        <is>
          <t xml:space="preserve">With NO Abnormal Condition Present</t>
        </is>
      </c>
      <c r="C10" s="33">
        <v>1</v>
      </c>
      <c r="D10" s="30" t="inlineStr">
        <is>
          <t xml:space="preserve">Did an acceptable reconfiguration occur?</t>
        </is>
      </c>
      <c r="E10" s="31"/>
    </row>
    <row r="11" spans="1:5" ht="57.6" x14ac:dyDescent="0.3">
      <c r="A11" s="138"/>
      <c r="B11" s="130" t="inlineStr">
        <is>
          <t xml:space="preserve">With Abnormal Condition Present</t>
        </is>
      </c>
      <c r="C11" s="52">
        <v>1</v>
      </c>
      <c r="D11" s="53" t="inlineStr">
        <is>
          <t xml:space="preserve">When the abnormal condition is applied, does the DAC HMI show abnormal condition tags on both the device with the abnormal condition and the feeder electrically connected to it?</t>
        </is>
      </c>
      <c r="E11" s="54"/>
    </row>
    <row r="12" spans="1:5" ht="28.8" x14ac:dyDescent="0.3">
      <c r="A12" s="138"/>
      <c r="B12" s="130"/>
      <c r="C12" s="33">
        <v>2</v>
      </c>
      <c r="D12" s="30" t="inlineStr">
        <is>
          <t xml:space="preserve">Was the feeder with the abnormal condition used in any reconfiguration that occurred?</t>
        </is>
      </c>
      <c r="E12" s="31"/>
    </row>
    <row r="13" spans="1:5" ht="28.8" x14ac:dyDescent="0.3">
      <c r="A13" s="138"/>
      <c r="B13" s="130"/>
      <c r="C13" s="52">
        <v>3</v>
      </c>
      <c r="D13" s="53" t="inlineStr">
        <is>
          <t xml:space="preserve">Did an acceptable reconfiguration occur elsewhere involving other feeders (if possible)?</t>
        </is>
      </c>
      <c r="E13" s="54"/>
    </row>
    <row r="14" spans="1:5" x14ac:dyDescent="0.3">
      <c r="A14" s="138"/>
      <c r="B14" s="130"/>
      <c r="C14" s="33">
        <v>4</v>
      </c>
      <c r="D14" s="30" t="inlineStr">
        <is>
          <t xml:space="preserve">If so, which initially open points closed?</t>
        </is>
      </c>
      <c r="E14" s="31"/>
    </row>
    <row r="15" spans="1:5" x14ac:dyDescent="0.3">
      <c r="A15" s="138"/>
      <c r="B15" s="130"/>
      <c r="C15" s="52">
        <v>5</v>
      </c>
      <c r="D15" s="53" t="inlineStr">
        <is>
          <t xml:space="preserve">Comments: </t>
        </is>
      </c>
      <c r="E15" s="55"/>
    </row>
    <row r="16" spans="1:5" x14ac:dyDescent="0.3">
      <c r="A16" s="138"/>
      <c r="B16" s="130"/>
      <c r="C16" s="36"/>
      <c r="D16" s="36" t="inlineStr">
        <is>
          <t xml:space="preserve"> FAT Test engineer:</t>
        </is>
      </c>
      <c r="E16" s="31"/>
    </row>
    <row r="17" spans="1:5" x14ac:dyDescent="0.3">
      <c r="A17" s="139"/>
      <c r="B17" s="130"/>
      <c r="C17" s="57"/>
      <c r="D17" s="58" t="inlineStr">
        <is>
          <t xml:space="preserve">Date:</t>
        </is>
      </c>
      <c r="E17" s="67"/>
    </row>
    <row r="18" spans="1:5" hidden="1" x14ac:dyDescent="0.3">
      <c r="A18" s="140"/>
      <c r="B18" s="140"/>
      <c r="C18" s="140"/>
      <c r="D18" s="140"/>
      <c r="E18" s="140"/>
    </row>
    <row r="19" spans="1:5" hidden="1" x14ac:dyDescent="0.3">
      <c r="A19" s="140"/>
      <c r="B19" s="140"/>
      <c r="C19" s="140"/>
      <c r="D19" s="140"/>
      <c r="E19" s="140"/>
    </row>
    <row r="20" spans="1:5" ht="43.2" hidden="1" x14ac:dyDescent="0.3">
      <c r="A20" s="130" t="inlineStr">
        <is>
          <t xml:space="preserve">Live Testing
(Performed during SAT)</t>
        </is>
      </c>
      <c r="B20" s="131"/>
      <c r="C20" s="34">
        <v>1</v>
      </c>
      <c r="D20" s="29" t="inlineStr">
        <is>
          <t xml:space="preserve">Verify voltage levels are normal (force in the DAC if necessary after disconnect switches are open) for the following:</t>
        </is>
      </c>
      <c r="E20" s="24"/>
    </row>
    <row r="21" spans="1:5" ht="28.8" hidden="1" x14ac:dyDescent="0.3">
      <c r="A21" s="131"/>
      <c r="B21" s="131"/>
      <c r="C21" s="33">
        <v>2</v>
      </c>
      <c r="D21" s="30" t="inlineStr">
        <is>
          <t xml:space="preserve">Assert the abnormal condition on the device locally or through SCADA if applicable.</t>
        </is>
      </c>
      <c r="E21" s="31"/>
    </row>
    <row r="22" spans="1:5" ht="28.8" hidden="1" x14ac:dyDescent="0.3">
      <c r="A22" s="131"/>
      <c r="B22" s="131"/>
      <c r="C22" s="34">
        <v>3</v>
      </c>
      <c r="D22" s="29" t="inlineStr">
        <is>
          <t xml:space="preserve">Verify status points at SCADA indicate both device and relevant feeder(s) as abnormal</t>
        </is>
      </c>
      <c r="E22" s="24"/>
    </row>
    <row r="23" spans="1:5" hidden="1" x14ac:dyDescent="0.3">
      <c r="A23" s="131"/>
      <c r="B23" s="131"/>
      <c r="C23" s="33">
        <v>4</v>
      </c>
      <c r="D23" s="30" t="inlineStr">
        <is>
          <t xml:space="preserve">Perform test using procedures of recreated test.</t>
        </is>
      </c>
      <c r="E23" s="31"/>
    </row>
    <row r="24" spans="1:5" ht="28.8" hidden="1" x14ac:dyDescent="0.3">
      <c r="A24" s="131"/>
      <c r="B24" s="131"/>
      <c r="C24" s="34">
        <v>5</v>
      </c>
      <c r="D24" s="29" t="inlineStr">
        <is>
          <t xml:space="preserve">Verify correct operation occurs with no operation on abnormal circuit, see above for expected results</t>
        </is>
      </c>
      <c r="E24" s="24"/>
    </row>
    <row r="25" spans="1:5" hidden="1" x14ac:dyDescent="0.3">
      <c r="A25" s="131"/>
      <c r="B25" s="131"/>
      <c r="C25" s="33">
        <v>6</v>
      </c>
      <c r="D25" s="30" t="inlineStr">
        <is>
          <t xml:space="preserve">Verify in SCADA and DAC “Abnormal Fail” asserts.</t>
        </is>
      </c>
      <c r="E25" s="31"/>
    </row>
    <row r="26" spans="1:5" hidden="1" x14ac:dyDescent="0.3">
      <c r="A26" s="131"/>
      <c r="B26" s="131"/>
      <c r="C26" s="34">
        <v>7</v>
      </c>
      <c r="D26" s="29" t="inlineStr">
        <is>
          <t xml:space="preserve">Assert Return to Normal command from SCADA</t>
        </is>
      </c>
      <c r="E26" s="24"/>
    </row>
    <row r="27" spans="1:5" hidden="1" x14ac:dyDescent="0.3">
      <c r="A27" s="131"/>
      <c r="B27" s="131"/>
      <c r="C27" s="33">
        <v>8</v>
      </c>
      <c r="D27" s="30" t="inlineStr">
        <is>
          <t xml:space="preserve">Verify no operation occurs on the abnormal circuit</t>
        </is>
      </c>
      <c r="E27" s="31"/>
    </row>
    <row r="28" spans="1:5" ht="28.8" hidden="1" x14ac:dyDescent="0.3">
      <c r="A28" s="131"/>
      <c r="B28" s="131"/>
      <c r="C28" s="34">
        <v>9</v>
      </c>
      <c r="D28" s="29" t="inlineStr">
        <is>
          <t xml:space="preserve">Remove the abnormal condition on the listed FAT device locally or through SCADA if applicable</t>
        </is>
      </c>
      <c r="E28" s="24"/>
    </row>
    <row r="29" spans="1:5" hidden="1" x14ac:dyDescent="0.3">
      <c r="A29" s="131"/>
      <c r="B29" s="131"/>
      <c r="C29" s="33">
        <v>10</v>
      </c>
      <c r="D29" s="30" t="inlineStr">
        <is>
          <t xml:space="preserve">Assert Return to Normal command from SCADA</t>
        </is>
      </c>
      <c r="E29" s="31"/>
    </row>
    <row r="30" spans="1:5" ht="28.8" hidden="1" x14ac:dyDescent="0.3">
      <c r="A30" s="131"/>
      <c r="B30" s="131"/>
      <c r="C30" s="34">
        <v>11</v>
      </c>
      <c r="D30" s="29" t="inlineStr">
        <is>
          <t xml:space="preserve">Verify the devices which operated are returned to normal by the DAC.</t>
        </is>
      </c>
      <c r="E30" s="24"/>
    </row>
    <row r="31" spans="1:5" hidden="1" x14ac:dyDescent="0.3">
      <c r="A31" s="131"/>
      <c r="B31" s="131"/>
      <c r="C31" s="33">
        <v>12</v>
      </c>
      <c r="D31" s="30" t="inlineStr">
        <is>
          <t xml:space="preserve">Verify proper SOE logging and event recording in the DAC</t>
        </is>
      </c>
      <c r="E31" s="31"/>
    </row>
    <row r="32" spans="1:5" ht="30" hidden="1" customHeight="1" x14ac:dyDescent="0.3">
      <c r="A32" s="131"/>
      <c r="B32" s="131"/>
      <c r="C32" s="34">
        <v>13</v>
      </c>
      <c r="D32" s="29" t="inlineStr">
        <is>
          <t xml:space="preserve">Comments: </t>
        </is>
      </c>
      <c r="E32" s="24"/>
    </row>
    <row r="33" spans="1:5" ht="24" hidden="1" customHeight="1" x14ac:dyDescent="0.3">
      <c r="A33" s="131"/>
      <c r="B33" s="131"/>
      <c r="C33" s="33"/>
      <c r="D33" s="36" t="inlineStr">
        <is>
          <t xml:space="preserve">Live Test representative:</t>
        </is>
      </c>
      <c r="E33" s="31"/>
    </row>
    <row r="34" spans="1:5" ht="21.75" hidden="1" customHeight="1" x14ac:dyDescent="0.3">
      <c r="A34" s="131"/>
      <c r="B34" s="131"/>
      <c r="C34" s="34"/>
      <c r="D34" s="32" t="inlineStr">
        <is>
          <t xml:space="preserve">Date:</t>
        </is>
      </c>
      <c r="E34" s="24"/>
    </row>
    <row r="40" spans="4:4" x14ac:dyDescent="0.3">
      <c r="D40" s="9"/>
    </row>
  </sheetData>
  <mergeCells count="7">
    <mergeCell ref="A1:D1"/>
    <mergeCell ref="A2:D2"/>
    <mergeCell ref="A20:B34"/>
    <mergeCell ref="A10:A17"/>
    <mergeCell ref="A6:C9"/>
    <mergeCell ref="A18:E19"/>
    <mergeCell ref="B11:B17"/>
  </mergeCells>
  <dataValidations count="1">
    <dataValidation type="list" allowBlank="1" showInputMessage="1" showErrorMessage="1" sqref="E10:E13">
      <formula1>"YES,NO, N/A"</formula1>
    </dataValidation>
  </dataValidations>
  <pageMargins left="0.7" right="0.7" top="0.75" bottom="0.75" header="0.3" footer="0.3"/>
  <pageSetup scale="55" fitToWidth="0" fitToHeight="0" orientation="landscape" horizontalDpi="1200" verticalDpi="1200"/>
  <headerFooter scaleWithDoc="0">
    <oddFooter>&amp;LDate Code: 20240404
SEL PROPRIETARY INFORMATION&amp;CCLECO
CLECO - DSMART - Slidell 13.2kV&amp;RPage &amp;P of &amp;N
Project 033006.000.00</oddFooter>
  </headerFooter>
</worksheet>
</file>